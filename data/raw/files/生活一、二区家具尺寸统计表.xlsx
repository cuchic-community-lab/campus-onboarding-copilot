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10"/>
  </bookViews>
  <sheets>
    <sheet name="生活一区" sheetId="1" r:id="rId1"/>
    <sheet name="生活二区" sheetId="2" r:id="rId2"/>
  </sheets>
  <definedNames>
    <definedName name="_xlnm._FilterDatabase" localSheetId="0" hidden="1">生活一区!$A$2:$E$10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87BE2E074464FF7894EEF8F57D5173B" descr="WPS图片(1)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6286500" cy="492442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3" name="ID_7178F4DBCFDA45C7A3CFBD302EB11166" descr="WPS图片(1)"/>
        <xdr:cNvPicPr/>
      </xdr:nvPicPr>
      <xdr:blipFill>
        <a:blip r:embed="rId2"/>
        <a:srcRect/>
        <a:stretch>
          <a:fillRect/>
        </a:stretch>
      </xdr:blipFill>
      <xdr:spPr>
        <a:xfrm>
          <a:off x="0" y="0"/>
          <a:ext cx="7907020" cy="10058400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4" name="ID_34737DA2BD8D460AB5360ECF753B6C51" descr="微信图片_20250814140711"/>
        <xdr:cNvPicPr/>
      </xdr:nvPicPr>
      <xdr:blipFill>
        <a:blip r:embed="rId3"/>
        <a:srcRect/>
        <a:stretch>
          <a:fillRect/>
        </a:stretch>
      </xdr:blipFill>
      <xdr:spPr>
        <a:xfrm>
          <a:off x="5686425" y="5635625"/>
          <a:ext cx="5648325" cy="765492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6" name="ID_8B1F192A9B2B4953BEFA84245ED0DDD5" descr="微信图片_20250814134635"/>
        <xdr:cNvPicPr/>
      </xdr:nvPicPr>
      <xdr:blipFill>
        <a:blip r:embed="rId4"/>
        <a:srcRect/>
        <a:stretch>
          <a:fillRect/>
        </a:stretch>
      </xdr:blipFill>
      <xdr:spPr>
        <a:xfrm>
          <a:off x="6076950" y="10175875"/>
          <a:ext cx="5629275" cy="7556501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8" name="ID_CCA5184ED9984F19B7578059B35E1B3E" descr="WPS图片(1)"/>
        <xdr:cNvPicPr/>
      </xdr:nvPicPr>
      <xdr:blipFill>
        <a:blip r:embed="rId5"/>
        <a:srcRect/>
        <a:stretch>
          <a:fillRect/>
        </a:stretch>
      </xdr:blipFill>
      <xdr:spPr>
        <a:xfrm>
          <a:off x="0" y="0"/>
          <a:ext cx="5734050" cy="581977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9" name="ID_AFDACF1D016B48F88AC4D0F4587637AC" descr="微信图片_20250814140701"/>
        <xdr:cNvPicPr/>
      </xdr:nvPicPr>
      <xdr:blipFill>
        <a:blip r:embed="rId6"/>
        <a:srcRect/>
        <a:stretch>
          <a:fillRect/>
        </a:stretch>
      </xdr:blipFill>
      <xdr:spPr>
        <a:xfrm>
          <a:off x="6019800" y="3044825"/>
          <a:ext cx="5629275" cy="7553325"/>
        </a:xfrm>
        <a:prstGeom prst="rect">
          <a:avLst/>
        </a:prstGeom>
        <a:noFill/>
        <a:ln>
          <a:noFill/>
        </a:ln>
        <a:effectLst/>
      </xdr:spPr>
    </xdr:pic>
  </etc:cellImage>
  <etc:cellImage>
    <xdr:pic>
      <xdr:nvPicPr>
        <xdr:cNvPr id="10" name="ID_A7F9AB06947D43CAB0989313E2C64D6D" descr="微信图片_20250814140654"/>
        <xdr:cNvPicPr/>
      </xdr:nvPicPr>
      <xdr:blipFill>
        <a:blip r:embed="rId7"/>
        <a:srcRect/>
        <a:stretch>
          <a:fillRect/>
        </a:stretch>
      </xdr:blipFill>
      <xdr:spPr>
        <a:xfrm>
          <a:off x="6324600" y="10623550"/>
          <a:ext cx="5629275" cy="7607300"/>
        </a:xfrm>
        <a:prstGeom prst="rect">
          <a:avLst/>
        </a:prstGeom>
        <a:noFill/>
        <a:ln>
          <a:noFill/>
        </a:ln>
        <a:effectLst/>
      </xdr:spPr>
    </xdr:pic>
  </etc:cellImage>
</etc:cellImages>
</file>

<file path=xl/sharedStrings.xml><?xml version="1.0" encoding="utf-8"?>
<sst xmlns="http://schemas.openxmlformats.org/spreadsheetml/2006/main" count="38" uniqueCount="24">
  <si>
    <t>生活一区家具尺寸统计表</t>
  </si>
  <si>
    <t>序号</t>
  </si>
  <si>
    <t>类型</t>
  </si>
  <si>
    <t>楼栋</t>
  </si>
  <si>
    <t>规格</t>
  </si>
  <si>
    <t>尺寸图片</t>
  </si>
  <si>
    <t>衣柜</t>
  </si>
  <si>
    <t>双人间</t>
  </si>
  <si>
    <t>长0.8m*高2m*深0.6mm</t>
  </si>
  <si>
    <t>书桌</t>
  </si>
  <si>
    <t>宽1m*长0.6m*高1.65m</t>
  </si>
  <si>
    <t>床</t>
  </si>
  <si>
    <t>高架床
（上床下桌）</t>
  </si>
  <si>
    <t>长2.08m*宽0.97m*高2.7米</t>
  </si>
  <si>
    <t>上下铺
（上下床）</t>
  </si>
  <si>
    <t>长2.75m*宽0.97m*高2.7米</t>
  </si>
  <si>
    <t>床垫</t>
  </si>
  <si>
    <t>长2m*宽1m*厚100mm米</t>
  </si>
  <si>
    <t>生活二区家具尺寸统计表</t>
  </si>
  <si>
    <t>1号楼</t>
  </si>
  <si>
    <t>宽1.1m*长0.6m*高2m</t>
  </si>
  <si>
    <t>宽0.8m*长0.55m*高0.75m</t>
  </si>
  <si>
    <t>长2.1m*宽1.01m*高0.9</t>
  </si>
  <si>
    <t>长2.1m*宽1.01m*厚50mm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</si>
</sst>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8"/>
      <color rgb="FF00000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7D0F705A-4A83-4A32-BD96-B2675774A62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A5B2F644-155A-4E91-982E-CFC9B761F92D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jpe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topLeftCell="A6" workbookViewId="0">
      <selection activeCell="E9" sqref="E9:E10"/>
    </sheetView>
  </sheetViews>
  <sheetFormatPr defaultColWidth="9" defaultRowHeight="13.5" outlineLevelCol="4"/>
  <cols>
    <col min="1" max="1" width="5.5" style="2" customWidth="1"/>
    <col min="2" max="2" width="12.625" style="2" customWidth="1"/>
    <col min="3" max="3" width="12.125" style="2" customWidth="1"/>
    <col min="4" max="4" width="24.375" style="2" customWidth="1"/>
    <col min="5" max="5" width="26.125" style="2" customWidth="1"/>
  </cols>
  <sheetData>
    <row r="1" ht="39" customHeight="1" spans="1:5">
      <c r="A1" s="3" t="s">
        <v>0</v>
      </c>
      <c r="B1" s="3"/>
      <c r="C1" s="3"/>
      <c r="D1" s="3"/>
      <c r="E1" s="3"/>
    </row>
    <row r="2" s="1" customFormat="1" ht="33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95" customHeight="1" spans="1:5">
      <c r="A3" s="5">
        <v>1</v>
      </c>
      <c r="B3" s="5" t="s">
        <v>6</v>
      </c>
      <c r="C3" s="6" t="s">
        <v>7</v>
      </c>
      <c r="D3" s="6" t="s">
        <v>8</v>
      </c>
      <c r="E3" s="6" t="str">
        <f>_xlfn.DISPIMG("ID_AFDACF1D016B48F88AC4D0F4587637AC",1)</f>
        <v>=DISPIMG("ID_AFDACF1D016B48F88AC4D0F4587637AC",1)</v>
      </c>
    </row>
    <row r="4" ht="95" customHeight="1" spans="1:5">
      <c r="A4" s="5">
        <v>2</v>
      </c>
      <c r="B4" s="5"/>
      <c r="C4" s="6"/>
      <c r="D4" s="6"/>
      <c r="E4" s="6"/>
    </row>
    <row r="5" ht="95" customHeight="1" spans="1:5">
      <c r="A5" s="5">
        <v>3</v>
      </c>
      <c r="B5" s="5" t="s">
        <v>9</v>
      </c>
      <c r="C5" s="6" t="s">
        <v>7</v>
      </c>
      <c r="D5" s="6" t="s">
        <v>10</v>
      </c>
      <c r="E5" s="6" t="str">
        <f>_xlfn.DISPIMG("ID_34737DA2BD8D460AB5360ECF753B6C51",1)</f>
        <v>=DISPIMG("ID_34737DA2BD8D460AB5360ECF753B6C51",1)</v>
      </c>
    </row>
    <row r="6" ht="95" customHeight="1" spans="1:5">
      <c r="A6" s="5">
        <v>4</v>
      </c>
      <c r="B6" s="5"/>
      <c r="C6" s="6"/>
      <c r="D6" s="6"/>
      <c r="E6" s="6"/>
    </row>
    <row r="7" ht="95" customHeight="1" spans="1:5">
      <c r="A7" s="5">
        <v>5</v>
      </c>
      <c r="B7" s="6" t="s">
        <v>11</v>
      </c>
      <c r="C7" s="7" t="s">
        <v>12</v>
      </c>
      <c r="D7" s="5" t="s">
        <v>13</v>
      </c>
      <c r="E7" s="5" t="str">
        <f>_xlfn.DISPIMG("ID_8B1F192A9B2B4953BEFA84245ED0DDD5",1)</f>
        <v>=DISPIMG("ID_8B1F192A9B2B4953BEFA84245ED0DDD5",1)</v>
      </c>
    </row>
    <row r="8" ht="95" customHeight="1" spans="1:5">
      <c r="A8" s="5">
        <v>6</v>
      </c>
      <c r="B8" s="6"/>
      <c r="C8" s="7" t="s">
        <v>14</v>
      </c>
      <c r="D8" s="5" t="s">
        <v>15</v>
      </c>
      <c r="E8" s="5" t="str">
        <f>_xlfn.DISPIMG("ID_A7F9AB06947D43CAB0989313E2C64D6D",1)</f>
        <v>=DISPIMG("ID_A7F9AB06947D43CAB0989313E2C64D6D",1)</v>
      </c>
    </row>
    <row r="9" ht="95" customHeight="1" spans="1:5">
      <c r="A9" s="5">
        <v>7</v>
      </c>
      <c r="B9" s="5" t="s">
        <v>16</v>
      </c>
      <c r="C9" s="6" t="s">
        <v>7</v>
      </c>
      <c r="D9" s="6" t="s">
        <v>17</v>
      </c>
      <c r="E9" s="8"/>
    </row>
    <row r="10" ht="95" customHeight="1" spans="1:5">
      <c r="A10" s="5">
        <v>8</v>
      </c>
      <c r="B10" s="5"/>
      <c r="C10" s="6"/>
      <c r="D10" s="6"/>
      <c r="E10" s="8"/>
    </row>
  </sheetData>
  <mergeCells count="14">
    <mergeCell ref="A1:E1"/>
    <mergeCell ref="B3:B4"/>
    <mergeCell ref="B5:B6"/>
    <mergeCell ref="B7:B8"/>
    <mergeCell ref="B9:B10"/>
    <mergeCell ref="C3:C4"/>
    <mergeCell ref="C5:C6"/>
    <mergeCell ref="C9:C10"/>
    <mergeCell ref="D3:D4"/>
    <mergeCell ref="D5:D6"/>
    <mergeCell ref="D9:D10"/>
    <mergeCell ref="E3:E4"/>
    <mergeCell ref="E5:E6"/>
    <mergeCell ref="E9:E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opLeftCell="A4" workbookViewId="0">
      <selection activeCell="D6" sqref="D6:D8"/>
    </sheetView>
  </sheetViews>
  <sheetFormatPr defaultColWidth="9" defaultRowHeight="13.5" outlineLevelCol="4"/>
  <cols>
    <col min="1" max="1" width="5.5" style="2" customWidth="1"/>
    <col min="2" max="2" width="12.125" style="2" customWidth="1"/>
    <col min="3" max="3" width="12" style="2" customWidth="1"/>
    <col min="4" max="4" width="24.375" style="2" customWidth="1"/>
    <col min="5" max="5" width="26.125" style="2" customWidth="1"/>
  </cols>
  <sheetData>
    <row r="1" ht="39" customHeight="1" spans="1:5">
      <c r="A1" s="3" t="s">
        <v>18</v>
      </c>
      <c r="B1" s="3"/>
      <c r="C1" s="3"/>
      <c r="D1" s="3"/>
      <c r="E1" s="3"/>
    </row>
    <row r="2" s="1" customFormat="1" ht="33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40" customHeight="1" spans="1:5">
      <c r="A3" s="5">
        <v>1</v>
      </c>
      <c r="B3" s="5" t="s">
        <v>6</v>
      </c>
      <c r="C3" s="6" t="s">
        <v>19</v>
      </c>
      <c r="D3" s="6" t="s">
        <v>20</v>
      </c>
      <c r="E3" s="5" t="str">
        <f>_xlfn.DISPIMG("ID_7178F4DBCFDA45C7A3CFBD302EB11166",1)</f>
        <v>=DISPIMG("ID_7178F4DBCFDA45C7A3CFBD302EB11166",1)</v>
      </c>
    </row>
    <row r="4" ht="40" customHeight="1" spans="1:5">
      <c r="A4" s="5">
        <v>2</v>
      </c>
      <c r="B4" s="5"/>
      <c r="C4" s="6"/>
      <c r="D4" s="6"/>
      <c r="E4" s="5"/>
    </row>
    <row r="5" ht="39" customHeight="1" spans="1:5">
      <c r="A5" s="5">
        <v>3</v>
      </c>
      <c r="B5" s="5"/>
      <c r="C5" s="6"/>
      <c r="D5" s="6"/>
      <c r="E5" s="5"/>
    </row>
    <row r="6" ht="39" customHeight="1" spans="1:5">
      <c r="A6" s="5">
        <v>4</v>
      </c>
      <c r="B6" s="5" t="s">
        <v>9</v>
      </c>
      <c r="C6" s="6" t="s">
        <v>19</v>
      </c>
      <c r="D6" s="6" t="s">
        <v>21</v>
      </c>
      <c r="E6" s="6" t="str">
        <f>_xlfn.DISPIMG("ID_CCA5184ED9984F19B7578059B35E1B3E",1)</f>
        <v>=DISPIMG("ID_CCA5184ED9984F19B7578059B35E1B3E",1)</v>
      </c>
    </row>
    <row r="7" ht="39" customHeight="1" spans="1:5">
      <c r="A7" s="5">
        <v>5</v>
      </c>
      <c r="B7" s="5"/>
      <c r="C7" s="6"/>
      <c r="D7" s="6"/>
      <c r="E7" s="6"/>
    </row>
    <row r="8" ht="39" customHeight="1" spans="1:5">
      <c r="A8" s="5">
        <v>6</v>
      </c>
      <c r="B8" s="5"/>
      <c r="C8" s="6"/>
      <c r="D8" s="6"/>
      <c r="E8" s="6"/>
    </row>
    <row r="9" ht="39" customHeight="1" spans="1:5">
      <c r="A9" s="5">
        <v>7</v>
      </c>
      <c r="B9" s="5" t="s">
        <v>11</v>
      </c>
      <c r="C9" s="6" t="s">
        <v>19</v>
      </c>
      <c r="D9" s="6" t="s">
        <v>22</v>
      </c>
      <c r="E9" s="6" t="str">
        <f>_xlfn.DISPIMG("ID_D87BE2E074464FF7894EEF8F57D5173B",1)</f>
        <v>=DISPIMG("ID_D87BE2E074464FF7894EEF8F57D5173B",1)</v>
      </c>
    </row>
    <row r="10" ht="39" customHeight="1" spans="1:5">
      <c r="A10" s="5">
        <v>8</v>
      </c>
      <c r="B10" s="5"/>
      <c r="C10" s="6"/>
      <c r="D10" s="6"/>
      <c r="E10" s="6"/>
    </row>
    <row r="11" ht="39" customHeight="1" spans="1:5">
      <c r="A11" s="5">
        <v>9</v>
      </c>
      <c r="B11" s="5"/>
      <c r="C11" s="6"/>
      <c r="D11" s="6"/>
      <c r="E11" s="6"/>
    </row>
    <row r="12" ht="39" customHeight="1" spans="1:5">
      <c r="A12" s="5">
        <v>10</v>
      </c>
      <c r="B12" s="5" t="s">
        <v>16</v>
      </c>
      <c r="C12" s="6" t="s">
        <v>19</v>
      </c>
      <c r="D12" s="6" t="s">
        <v>23</v>
      </c>
      <c r="E12" s="6" t="str">
        <f>_xlfn.DISPIMG("ID_D87BE2E074464FF7894EEF8F57D5173B",1)</f>
        <v>=DISPIMG("ID_D87BE2E074464FF7894EEF8F57D5173B",1)</v>
      </c>
    </row>
    <row r="13" ht="39" customHeight="1" spans="1:5">
      <c r="A13" s="5">
        <v>11</v>
      </c>
      <c r="B13" s="5"/>
      <c r="C13" s="6"/>
      <c r="D13" s="6"/>
      <c r="E13" s="6"/>
    </row>
    <row r="14" ht="39" customHeight="1" spans="1:5">
      <c r="A14" s="5">
        <v>12</v>
      </c>
      <c r="B14" s="5"/>
      <c r="C14" s="6"/>
      <c r="D14" s="6"/>
      <c r="E14" s="6"/>
    </row>
  </sheetData>
  <mergeCells count="17">
    <mergeCell ref="A1:E1"/>
    <mergeCell ref="B3:B5"/>
    <mergeCell ref="B6:B8"/>
    <mergeCell ref="B9:B11"/>
    <mergeCell ref="B12:B14"/>
    <mergeCell ref="C3:C5"/>
    <mergeCell ref="C6:C8"/>
    <mergeCell ref="C9:C11"/>
    <mergeCell ref="C12:C14"/>
    <mergeCell ref="D3:D5"/>
    <mergeCell ref="D6:D8"/>
    <mergeCell ref="D9:D11"/>
    <mergeCell ref="D12:D14"/>
    <mergeCell ref="E3:E5"/>
    <mergeCell ref="E6:E8"/>
    <mergeCell ref="E9:E11"/>
    <mergeCell ref="E12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生活一区</vt:lpstr>
      <vt:lpstr>生活二区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郑博文</cp:lastModifiedBy>
  <dcterms:created xsi:type="dcterms:W3CDTF">2025-08-13T21:39:00Z</dcterms:created>
  <dcterms:modified xsi:type="dcterms:W3CDTF">2025-08-18T01:56:48Z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23D1E293467848F5BDC29A477E406EB4_13</vt:lpwstr>
  </property>
  <property fmtid="{D5CDD505-2E9C-101B-9397-08002B2CF9AE}" pid="3" name="KSOProductBuildVer">
    <vt:lpwstr>2052-12.1.0.21541</vt:lpwstr>
  </property>
</Properties>
</file>